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em\Downloads\"/>
    </mc:Choice>
  </mc:AlternateContent>
  <xr:revisionPtr revIDLastSave="0" documentId="13_ncr:1_{FDA2F023-4E5C-4C91-A7A8-D0BC1E314BD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 Dashboard" sheetId="1" r:id="rId1"/>
    <sheet name="Functional Traceability" sheetId="2" r:id="rId2"/>
    <sheet name="Non-Functional Traceability" sheetId="3" r:id="rId3"/>
    <sheet name="Constraints Traceability" sheetId="4" r:id="rId4"/>
  </sheets>
  <definedNames>
    <definedName name="_xlnm._FilterDatabase" localSheetId="3" hidden="1">'Constraints Traceability'!$A$2:$E$10</definedName>
    <definedName name="_xlnm._FilterDatabase" localSheetId="1" hidden="1">'Functional Traceability'!$A$2:$H$24</definedName>
    <definedName name="_xlnm._FilterDatabase" localSheetId="2" hidden="1">'Non-Functional Traceability'!$A$2:$E$12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E16" i="1"/>
  <c r="B16" i="1"/>
</calcChain>
</file>

<file path=xl/sharedStrings.xml><?xml version="1.0" encoding="utf-8"?>
<sst xmlns="http://schemas.openxmlformats.org/spreadsheetml/2006/main" count="300" uniqueCount="282">
  <si>
    <t>Rassay Platform - Project Traceability Summary Dashboard</t>
  </si>
  <si>
    <t>Project Information</t>
  </si>
  <si>
    <t>University / Department:</t>
  </si>
  <si>
    <t>Istanbul Arel University - Department of Computer Engineering</t>
  </si>
  <si>
    <t>Course:</t>
  </si>
  <si>
    <t>Project Name:</t>
  </si>
  <si>
    <t>Rassay: Machine Learning-Based Churn Early Warning Platform for B2B SaaS</t>
  </si>
  <si>
    <t>Project Leader:</t>
  </si>
  <si>
    <t>Yasemin Leblebici (210303014)</t>
  </si>
  <si>
    <t>Project Team:</t>
  </si>
  <si>
    <t>Berkay Kurtoğlu (Developer), Harun Başkan (Developer), Yunus Emre Duran (Tester)</t>
  </si>
  <si>
    <t>Metrics Analysis</t>
  </si>
  <si>
    <t>Total Functional Requirements (FR)</t>
  </si>
  <si>
    <t>Total Non-Functional Requirements (NFR)</t>
  </si>
  <si>
    <t>Total Architectural &amp; Regulatory Constraints (CON)</t>
  </si>
  <si>
    <t>Req ID</t>
  </si>
  <si>
    <t>Requirement Name</t>
  </si>
  <si>
    <t>Elicitation Source / Scenario</t>
  </si>
  <si>
    <t>Use Case</t>
  </si>
  <si>
    <t>UI Mockup / Figure</t>
  </si>
  <si>
    <t>Architecture Component</t>
  </si>
  <si>
    <t>API Endpoint</t>
  </si>
  <si>
    <t>Automated / Manual Test Case</t>
  </si>
  <si>
    <t>FR-SEC-01</t>
  </si>
  <si>
    <t>User Authentication / Login</t>
  </si>
  <si>
    <t>Scenario 4 / Security &amp; Architecture Review</t>
  </si>
  <si>
    <t>Use Case 5: User Authentication (Login)</t>
  </si>
  <si>
    <t>Figure 6.1: User Login Screen</t>
  </si>
  <si>
    <t>Auth Service / AuthRouter</t>
  </si>
  <si>
    <t>POST /api/v1/auth/login</t>
  </si>
  <si>
    <t>TC-04 PASSED, test_auth.py</t>
  </si>
  <si>
    <t>FR-SEC-02</t>
  </si>
  <si>
    <t>Protected Routes Security</t>
  </si>
  <si>
    <t>Security Review / Instructor Expectation</t>
  </si>
  <si>
    <t>All analytical Use Cases</t>
  </si>
  <si>
    <t>All Dashboard views (Automatic Intercept)</t>
  </si>
  <si>
    <t>Auth Service / API Gateway</t>
  </si>
  <si>
    <t>All protected endpoints</t>
  </si>
  <si>
    <t>Functional Test: Unauthenticated redirect verification</t>
  </si>
  <si>
    <t>FR-DOC-01</t>
  </si>
  <si>
    <t>Customer Data Ingestion</t>
  </si>
  <si>
    <t>Scenario 2 / Existing System Analysis</t>
  </si>
  <si>
    <t>View Churn Risk List (Implied)</t>
  </si>
  <si>
    <t>Figure 6.6: Bulk Data Import Module</t>
  </si>
  <si>
    <t>Data Ingestion Service / DataRouter</t>
  </si>
  <si>
    <t>POST /api/v1/telemetry</t>
  </si>
  <si>
    <t>test_api_customers.py PASSED</t>
  </si>
  <si>
    <t>FR-DOC-01.1</t>
  </si>
  <si>
    <t>Payload Schema Validation</t>
  </si>
  <si>
    <t>Technical Constraint / Pydantic Engine</t>
  </si>
  <si>
    <t>Figure 6.6 (Error Validation State)</t>
  </si>
  <si>
    <t>Data Ingestion Service (Pydantic)</t>
  </si>
  <si>
    <t>test_webhooks.py validation cases</t>
  </si>
  <si>
    <t>FR-DOC-02</t>
  </si>
  <si>
    <t>Missing Value Handling</t>
  </si>
  <si>
    <t>Literature Review / Data Cleaning</t>
  </si>
  <si>
    <t>Predict Churn Pipeline</t>
  </si>
  <si>
    <t>Backend processing (No direct UI element)</t>
  </si>
  <si>
    <t>Data Ingestion / Preprocessing Service</t>
  </si>
  <si>
    <t>test_prediction.py: median imputation validation</t>
  </si>
  <si>
    <t>FR-DOC-02.1</t>
  </si>
  <si>
    <t>Categorical Encoding</t>
  </si>
  <si>
    <t>Literature Review / XGBoost compatibility</t>
  </si>
  <si>
    <t>Backend processing</t>
  </si>
  <si>
    <t>Data Preprocessing Module</t>
  </si>
  <si>
    <t>Internal pipeline execution</t>
  </si>
  <si>
    <t>Unit Test: test_prediction.py</t>
  </si>
  <si>
    <t>FR-UC-03</t>
  </si>
  <si>
    <t>Risk Score Calculation</t>
  </si>
  <si>
    <t>Scenario 1 &amp; Scenario 2 / Core Value</t>
  </si>
  <si>
    <t>Use Case 2: View Churn Risk List</t>
  </si>
  <si>
    <t>Figure 6.2: Main Dashboard &amp; Figure 6.3</t>
  </si>
  <si>
    <t>ML Prediction Service (XGBoost)</t>
  </si>
  <si>
    <t>GET /api/v1/clients/{client_id}/risk</t>
  </si>
  <si>
    <t>test_prediction.py: calculate_risk() bounds check</t>
  </si>
  <si>
    <t>FR-UC-03.1</t>
  </si>
  <si>
    <t>Risk Classification Thresholds</t>
  </si>
  <si>
    <t>Scenario 2 / Threshold mapping</t>
  </si>
  <si>
    <t>Figure 6.2 &amp; 6.3 (Color-coded tags)</t>
  </si>
  <si>
    <t>Unit Test: Risk bounds categorization check</t>
  </si>
  <si>
    <t>FR-UC-04</t>
  </si>
  <si>
    <t>High-Risk Flagging</t>
  </si>
  <si>
    <t>Scenario 1 &amp; Scenario 2 / Proactive alerting</t>
  </si>
  <si>
    <t>Figure 6.3: Highlighted Red rows (&gt;75%)</t>
  </si>
  <si>
    <t>ML Prediction Service / Alert Module</t>
  </si>
  <si>
    <t>GET /api/v1/clients</t>
  </si>
  <si>
    <t>Functional Test: High-risk conditional highlights</t>
  </si>
  <si>
    <t>FR-UC-05</t>
  </si>
  <si>
    <t>XAI Explanation Generation</t>
  </si>
  <si>
    <t>Scenario 1 / Stakeholder Expectation</t>
  </si>
  <si>
    <t>Use Case 1: Analyze Risk Factors (XAI)</t>
  </si>
  <si>
    <t>Figure 6.4 &amp; 6.5: XAI Risk Factors Screen</t>
  </si>
  <si>
    <t>XAI Explanation Engine (SHAP)</t>
  </si>
  <si>
    <t>GET /api/v1/clients/{client_id}/xai</t>
  </si>
  <si>
    <t>TC-02 PASSED: SHAP vector non-null test</t>
  </si>
  <si>
    <t>FR-UC-05.1</t>
  </si>
  <si>
    <t>Feature Impact Isolation</t>
  </si>
  <si>
    <t>Scenario 1 / Top 3 feature isolation</t>
  </si>
  <si>
    <t>Figure 6.5: SHAP Bar Chart (Top 3 factors)</t>
  </si>
  <si>
    <t>Unit Test: Rank and slice verification</t>
  </si>
  <si>
    <t>FR-UC-05.3</t>
  </si>
  <si>
    <t>Model Feedback Loop</t>
  </si>
  <si>
    <t>Scenario 5 / Active Learning loop</t>
  </si>
  <si>
    <t>Use Case 7: Manage Model Feedback &amp; Retraining</t>
  </si>
  <si>
    <t>Figure 6.4: Confirm Outcome button</t>
  </si>
  <si>
    <t>Database / ChurnPrediction entity</t>
  </si>
  <si>
    <t>POST /api/v1/clients/{client_id}/risk (update)</t>
  </si>
  <si>
    <t>TC-06 PASSED: Database actual_outcome save</t>
  </si>
  <si>
    <t>FR-UC-05.4</t>
  </si>
  <si>
    <t>Dynamic Model Retraining</t>
  </si>
  <si>
    <t>Figure 6.7: System Status - Model Retraining</t>
  </si>
  <si>
    <t>ML Prediction Service / XGBoost Engine</t>
  </si>
  <si>
    <t>POST /api/v1/model/retrain</t>
  </si>
  <si>
    <t>TC-06 PASSED: Weights update verification log</t>
  </si>
  <si>
    <t>FR-UC-06</t>
  </si>
  <si>
    <t>Dashboard Real-Time Display</t>
  </si>
  <si>
    <t>Scenario 1 &amp; Scenario 2 / CSM Workflow</t>
  </si>
  <si>
    <t>Figure 6.2: Churn Risk Command Center</t>
  </si>
  <si>
    <t>Client Dashboard (React / Vite)</t>
  </si>
  <si>
    <t>TC-03 PASSED: React layout synchronization test</t>
  </si>
  <si>
    <t>FR-UC-08</t>
  </si>
  <si>
    <t>Customer Account Filtering</t>
  </si>
  <si>
    <t>Scenario 1 / CSM Navigation requirements</t>
  </si>
  <si>
    <t>Use Case 3: Filter Customer List</t>
  </si>
  <si>
    <t>Figure 6.3: All / High / Medium / Low Toggles</t>
  </si>
  <si>
    <t>Client Dashboard Filter State</t>
  </si>
  <si>
    <t>Local state filtering (React)</t>
  </si>
  <si>
    <t>Functional Test: Tabular row filter matches clicked tag</t>
  </si>
  <si>
    <t>FR-UC-08.1</t>
  </si>
  <si>
    <t>Dynamic Account Search</t>
  </si>
  <si>
    <t>Scenario 4 / Real-world simulation</t>
  </si>
  <si>
    <t>Figure 6.3: Search bar input field</t>
  </si>
  <si>
    <t>Client Dashboard Search Component</t>
  </si>
  <si>
    <t>Local query state or debounced API</t>
  </si>
  <si>
    <t>Functional Test: ID typing filters instantaneously</t>
  </si>
  <si>
    <t>FR-SC-09</t>
  </si>
  <si>
    <t>Early Warning Generation</t>
  </si>
  <si>
    <t>Scenario 2 / CSM Workflow</t>
  </si>
  <si>
    <t>Use Case 2 / Receive Early Warning Alert</t>
  </si>
  <si>
    <t>Figure 6.3: Priority Alerts Sidebar Widget</t>
  </si>
  <si>
    <t>Backend Alert Generation Module</t>
  </si>
  <si>
    <t>Acceptance Test: Transition score &gt;75 yields alert</t>
  </si>
  <si>
    <t>FR-SC-10</t>
  </si>
  <si>
    <t>Export Analytical Report (CSV)</t>
  </si>
  <si>
    <t>Scenario 4 / Corporate workflow requirements</t>
  </si>
  <si>
    <t>Use Case 4: Export Risk Report</t>
  </si>
  <si>
    <t>Figure 6.3: Export CSV Button</t>
  </si>
  <si>
    <t>Data Export Service</t>
  </si>
  <si>
    <t>Local data compilation to blob</t>
  </si>
  <si>
    <t>Functional Test: CSV file generation and download check</t>
  </si>
  <si>
    <t>FR-SC-11</t>
  </si>
  <si>
    <t>Executive PDF Generation</t>
  </si>
  <si>
    <t>Scenario 4 / Management Presentations</t>
  </si>
  <si>
    <t>Use Case 6: Export Executive PDF Report</t>
  </si>
  <si>
    <t>Figure 6.5: Download XAI Report (PDF) Button</t>
  </si>
  <si>
    <t>PDF Generation Module (ReportLab)</t>
  </si>
  <si>
    <t>GET /api/v1/clients/{client_id}/report</t>
  </si>
  <si>
    <t>TC-05 PASSED: test_pdf_report.py execution log</t>
  </si>
  <si>
    <t>FR-INT-11</t>
  </si>
  <si>
    <t>Connection Status Monitoring</t>
  </si>
  <si>
    <t>Scenario 5 / Admin Operations</t>
  </si>
  <si>
    <t>Integration Testing Widget</t>
  </si>
  <si>
    <t>Figure 6.7: Database Connections panel</t>
  </si>
  <si>
    <t>Backend Health / Diagnostics Service</t>
  </si>
  <si>
    <t>GET /api/v1/clients/health (implied)</t>
  </si>
  <si>
    <t>TC-01 PASSED: Test Connection yields green badge</t>
  </si>
  <si>
    <t>FR-INT-14</t>
  </si>
  <si>
    <t>Live Webhook Ingestion</t>
  </si>
  <si>
    <t>Scenario 2 / Real-time sync requirements</t>
  </si>
  <si>
    <t>Webhook Endpoint Access</t>
  </si>
  <si>
    <t>Figure 6.7: Webhook Signing Secret setup</t>
  </si>
  <si>
    <t>Data Router Gateway</t>
  </si>
  <si>
    <t>POST /api/v1/webhooks/incoming</t>
  </si>
  <si>
    <t>test_webhooks.py: Valid JSON parsing end-to-end</t>
  </si>
  <si>
    <t>FR-ST-11</t>
  </si>
  <si>
    <t>Cross-Layer Data Consistency</t>
  </si>
  <si>
    <t>Technical Architecture Alignment</t>
  </si>
  <si>
    <t>All Data flows</t>
  </si>
  <si>
    <t>All screens showing String IDs (e.g. 3178-FESZO)</t>
  </si>
  <si>
    <t>Full Stack Layered Typings (Pydantic/DB)</t>
  </si>
  <si>
    <t>All endpoints mapping company_id</t>
  </si>
  <si>
    <t>Acceptance Matrix validation: String ID mismatch check</t>
  </si>
  <si>
    <t>Quality Metric / Name</t>
  </si>
  <si>
    <t>Target Specification</t>
  </si>
  <si>
    <t>Architecture Counterpart</t>
  </si>
  <si>
    <t>Verification Method / Test Evidence</t>
  </si>
  <si>
    <t>NFR-ST-01</t>
  </si>
  <si>
    <t>Prediction Accuracy (Reliability)</t>
  </si>
  <si>
    <t>AUC-ROC, F1-Score and Recall &gt;= 85%</t>
  </si>
  <si>
    <t>XGBoost Analytical Core Weights</t>
  </si>
  <si>
    <t>Model Cross-Validation matrix execution metrics log</t>
  </si>
  <si>
    <t>NFR-ST-01.1</t>
  </si>
  <si>
    <t>Minority Class Recall</t>
  </si>
  <si>
    <t>Minimum Recall rate of 80% for actual churned class</t>
  </si>
  <si>
    <t>XGBoost Imbalance Handling (scale_pos_weight)</t>
  </si>
  <si>
    <t>Confusion Matrix test log review</t>
  </si>
  <si>
    <t>NFR-ST-02</t>
  </si>
  <si>
    <t>System Operational Availability</t>
  </si>
  <si>
    <t>&gt;= 99.9% uptime during business hours</t>
  </si>
  <si>
    <t>AWS Cloud Environment / Render Production Node</t>
  </si>
  <si>
    <t>Automated background health pings on /health endpoint</t>
  </si>
  <si>
    <t>NFR-ST-03</t>
  </si>
  <si>
    <t>Data Security (Encryption)</t>
  </si>
  <si>
    <t>Encryption at rest and in transit</t>
  </si>
  <si>
    <t>PostgreSQL AWS Storage layer / HTTPS TLS 1.2 minimum</t>
  </si>
  <si>
    <t>Security Audit: Browser SSL handshake verification</t>
  </si>
  <si>
    <t>NFR-ST-03.3</t>
  </si>
  <si>
    <t>Authentication Security</t>
  </si>
  <si>
    <t>JWT expirations &amp; route restrictions</t>
  </si>
  <si>
    <t>FastAPI Dependencies Layer / React Session management</t>
  </si>
  <si>
    <t>test_auth.py: Attempted empty-token API access returns 401</t>
  </si>
  <si>
    <t>NFR-ST-05</t>
  </si>
  <si>
    <t>Backend API Response Time</t>
  </si>
  <si>
    <t>Dashboard requests loaded in under 2 seconds</t>
  </si>
  <si>
    <t>Asynchronous FastAPI Routers + Neon DB Connection pool</t>
  </si>
  <si>
    <t>Load Testing: 50 concurrent hits benchmark check</t>
  </si>
  <si>
    <t>NFR-ST-06</t>
  </si>
  <si>
    <t>XAI Generation Speed</t>
  </si>
  <si>
    <t>SHAP values calculated in less than 5 seconds</t>
  </si>
  <si>
    <t>SHAP Explainer optimized background thread execution</t>
  </si>
  <si>
    <t>Performance Log: test_prediction.py timing instrumentation</t>
  </si>
  <si>
    <t>NFR-ST-06.2</t>
  </si>
  <si>
    <t>PDF Generation Speed</t>
  </si>
  <si>
    <t>PDF compiled and download prompted in &lt; 5 seconds</t>
  </si>
  <si>
    <t>ReportLab Buffer / Stream Output handler</t>
  </si>
  <si>
    <t>TC-05 Execution metric: PDF download prompt delay measurement</t>
  </si>
  <si>
    <t>NFR-ST-08</t>
  </si>
  <si>
    <t>Historical Data Retention</t>
  </si>
  <si>
    <t>12 months of telemetry log preservation</t>
  </si>
  <si>
    <t>PostgreSQL Table partitioning schemas</t>
  </si>
  <si>
    <t>SQL Query: Verification of seed data timestamps spanning 1 year</t>
  </si>
  <si>
    <t>NFR-ST-10</t>
  </si>
  <si>
    <t>System Robustness / Failover</t>
  </si>
  <si>
    <t>Graceful component degradation (No system-wide crash)</t>
  </si>
  <si>
    <t>React Error Boundaries implementation</t>
  </si>
  <si>
    <t>TC-03 PASSED: Alert API simulation failure keeps UI live</t>
  </si>
  <si>
    <t>Constraint ID</t>
  </si>
  <si>
    <t>Constraint Type &amp; Name</t>
  </si>
  <si>
    <t>Mandatory Requirement</t>
  </si>
  <si>
    <t>Implementation Module / Choice</t>
  </si>
  <si>
    <t>Compliance Verification Method</t>
  </si>
  <si>
    <t>CON-TECH-01</t>
  </si>
  <si>
    <t>Backend Framework</t>
  </si>
  <si>
    <t>Python &amp; FastAPI framework mandatory</t>
  </si>
  <si>
    <t>Backend application codebase architecture</t>
  </si>
  <si>
    <t>Code Inspection: main.py uses FastAPI instance declaration</t>
  </si>
  <si>
    <t>CON-TECH-02</t>
  </si>
  <si>
    <t>Frontend Stack</t>
  </si>
  <si>
    <t>React.js, Vite, and Tailwind CSS mandatory</t>
  </si>
  <si>
    <t>Frontend client application architecture</t>
  </si>
  <si>
    <t>Package JSON audit: dependencies include react, vite, tailwindcss</t>
  </si>
  <si>
    <t>CON-TECH-03</t>
  </si>
  <si>
    <t>Database Management</t>
  </si>
  <si>
    <t>PostgreSQL mandatory for ACID compliance</t>
  </si>
  <si>
    <t>Neon Cloud Infrastructure Service Layer</t>
  </si>
  <si>
    <t>Data Integration Settings verified database engine tag check</t>
  </si>
  <si>
    <t>CON-TECH-04</t>
  </si>
  <si>
    <t>Machine Learning Stack</t>
  </si>
  <si>
    <t>Scikit-Learn, XGBoost, SHAP, and LIME</t>
  </si>
  <si>
    <t>ML Prediction Core (`prediction_service.py`)</t>
  </si>
  <si>
    <t>Code Inspection: imports include xgboost and shap libraries</t>
  </si>
  <si>
    <t>CON-TECH-04.2</t>
  </si>
  <si>
    <t>Reporting Libraries</t>
  </si>
  <si>
    <t>Dedicated PDF engine required (ReportLab)</t>
  </si>
  <si>
    <t>Reporting Module Component</t>
  </si>
  <si>
    <t>Code Inspection: `test_pdf_report.py` relies on reportlab layout canvas</t>
  </si>
  <si>
    <t>CON-TECH-05.1</t>
  </si>
  <si>
    <t>Stateless Architecture</t>
  </si>
  <si>
    <t>JWT session tokens inside HTTP Headers</t>
  </si>
  <si>
    <t>Auth Token Verification Middleware Layer</t>
  </si>
  <si>
    <t>Network Tab Inspection: Authorization header carries valid Bearer token</t>
  </si>
  <si>
    <t>CON-ENV-01</t>
  </si>
  <si>
    <t>Cloud Deployment</t>
  </si>
  <si>
    <t>Accessible on Cloud service provider (Vercel/Render)</t>
  </si>
  <si>
    <t>Vercel Frontend / Render Backend Server Nodes</t>
  </si>
  <si>
    <t>Live Prototype URL validation link check</t>
  </si>
  <si>
    <t>CON-REG-01</t>
  </si>
  <si>
    <t>Data Privacy &amp; Protection</t>
  </si>
  <si>
    <t>KVKK / GDPR compliant PII minimization</t>
  </si>
  <si>
    <t>ML Preprocessing Pipeline</t>
  </si>
  <si>
    <t>Database Schema review: company rows lack user-specific PII names</t>
  </si>
  <si>
    <t>Software Requirement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</si>
</sst>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A365D"/>
      <name val="Segoe UI"/>
    </font>
    <font>
      <b/>
      <sz val="12"/>
      <color rgb="FF2A4B7C"/>
      <name val="Segoe UI"/>
    </font>
    <font>
      <b/>
      <sz val="10"/>
      <color rgb="FF333333"/>
      <name val="Segoe UI"/>
    </font>
    <font>
      <sz val="10"/>
      <color rgb="FF333333"/>
      <name val="Segoe UI"/>
    </font>
    <font>
      <b/>
      <sz val="20"/>
      <color rgb="FF1A365D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6EEF8"/>
        <bgColor rgb="FFE6EEF8"/>
      </patternFill>
    </fill>
    <fill>
      <patternFill patternType="solid">
        <fgColor rgb="FF2A4B7C"/>
        <bgColor rgb="FF2A4B7C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workbookViewId="0">
      <selection activeCell="C10" sqref="C10"/>
    </sheetView>
  </sheetViews>
  <sheetFormatPr defaultRowHeight="14.4" x14ac:dyDescent="0.3"/>
  <cols>
    <col min="1" max="1" width="12" customWidth="1"/>
    <col min="2" max="2" width="40" customWidth="1"/>
    <col min="3" max="3" width="75" customWidth="1"/>
    <col min="4" max="4" width="12" customWidth="1"/>
    <col min="5" max="5" width="43" customWidth="1"/>
    <col min="6" max="7" width="12" customWidth="1"/>
    <col min="8" max="8" width="54" customWidth="1"/>
    <col min="9" max="9" width="12" customWidth="1"/>
  </cols>
  <sheetData>
    <row r="2" spans="2:9" ht="24.6" x14ac:dyDescent="0.55000000000000004">
      <c r="B2" s="1" t="s">
        <v>0</v>
      </c>
    </row>
    <row r="4" spans="2:9" ht="19.2" x14ac:dyDescent="0.45">
      <c r="B4" s="2" t="s">
        <v>1</v>
      </c>
    </row>
    <row r="5" spans="2:9" ht="15" x14ac:dyDescent="0.35">
      <c r="B5" s="3" t="s">
        <v>2</v>
      </c>
      <c r="C5" s="4" t="s">
        <v>3</v>
      </c>
    </row>
    <row r="6" spans="2:9" ht="15" x14ac:dyDescent="0.35">
      <c r="B6" s="3" t="s">
        <v>4</v>
      </c>
      <c r="C6" s="4" t="s">
        <v>281</v>
      </c>
    </row>
    <row r="7" spans="2:9" ht="15" x14ac:dyDescent="0.35">
      <c r="B7" s="3" t="s">
        <v>5</v>
      </c>
      <c r="C7" s="4" t="s">
        <v>6</v>
      </c>
    </row>
    <row r="8" spans="2:9" ht="15" x14ac:dyDescent="0.35">
      <c r="B8" s="3" t="s">
        <v>7</v>
      </c>
      <c r="C8" s="4" t="s">
        <v>8</v>
      </c>
    </row>
    <row r="9" spans="2:9" ht="15" x14ac:dyDescent="0.35">
      <c r="B9" s="3" t="s">
        <v>9</v>
      </c>
      <c r="C9" s="4" t="s">
        <v>10</v>
      </c>
    </row>
    <row r="10" spans="2:9" ht="15" x14ac:dyDescent="0.35">
      <c r="B10" s="3"/>
      <c r="C10" s="4"/>
    </row>
    <row r="13" spans="2:9" ht="19.2" x14ac:dyDescent="0.45">
      <c r="B13" s="2" t="s">
        <v>11</v>
      </c>
    </row>
    <row r="15" spans="2:9" x14ac:dyDescent="0.3">
      <c r="B15" s="12" t="s">
        <v>12</v>
      </c>
      <c r="C15" s="11"/>
      <c r="E15" s="12" t="s">
        <v>13</v>
      </c>
      <c r="F15" s="11"/>
      <c r="H15" s="12" t="s">
        <v>14</v>
      </c>
      <c r="I15" s="11"/>
    </row>
    <row r="16" spans="2:9" x14ac:dyDescent="0.3">
      <c r="B16" s="10">
        <f>COUNTA('Functional Traceability'!A4:A25)</f>
        <v>21</v>
      </c>
      <c r="C16" s="11"/>
      <c r="E16" s="10">
        <f>COUNTA('Non-Functional Traceability'!A4:A13)</f>
        <v>9</v>
      </c>
      <c r="F16" s="11"/>
      <c r="H16" s="10">
        <f>COUNTA('Constraints Traceability'!A4:A11)</f>
        <v>7</v>
      </c>
      <c r="I16" s="11"/>
    </row>
  </sheetData>
  <mergeCells count="6">
    <mergeCell ref="B16:C16"/>
    <mergeCell ref="B15:C15"/>
    <mergeCell ref="E16:F16"/>
    <mergeCell ref="E15:F15"/>
    <mergeCell ref="H16:I16"/>
    <mergeCell ref="H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5" customWidth="1"/>
    <col min="2" max="2" width="34" customWidth="1"/>
    <col min="3" max="3" width="48" customWidth="1"/>
    <col min="4" max="4" width="50" customWidth="1"/>
    <col min="5" max="5" width="52" customWidth="1"/>
    <col min="6" max="6" width="44" customWidth="1"/>
    <col min="7" max="7" width="50" customWidth="1"/>
    <col min="8" max="8" width="59" customWidth="1"/>
  </cols>
  <sheetData>
    <row r="2" spans="1:8" ht="28.05" customHeight="1" x14ac:dyDescent="0.3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</row>
    <row r="3" spans="1:8" ht="15" x14ac:dyDescent="0.3">
      <c r="A3" s="6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6" t="s">
        <v>29</v>
      </c>
      <c r="H3" s="7" t="s">
        <v>30</v>
      </c>
    </row>
    <row r="4" spans="1:8" ht="15" x14ac:dyDescent="0.3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8" t="s">
        <v>37</v>
      </c>
      <c r="H4" s="9" t="s">
        <v>38</v>
      </c>
    </row>
    <row r="5" spans="1:8" ht="15" x14ac:dyDescent="0.3">
      <c r="A5" s="6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6" t="s">
        <v>45</v>
      </c>
      <c r="H5" s="7" t="s">
        <v>46</v>
      </c>
    </row>
    <row r="6" spans="1:8" ht="15" x14ac:dyDescent="0.3">
      <c r="A6" s="8" t="s">
        <v>47</v>
      </c>
      <c r="B6" s="9" t="s">
        <v>48</v>
      </c>
      <c r="C6" s="9" t="s">
        <v>49</v>
      </c>
      <c r="D6" s="9" t="s">
        <v>42</v>
      </c>
      <c r="E6" s="9" t="s">
        <v>50</v>
      </c>
      <c r="F6" s="9" t="s">
        <v>51</v>
      </c>
      <c r="G6" s="8" t="s">
        <v>45</v>
      </c>
      <c r="H6" s="9" t="s">
        <v>52</v>
      </c>
    </row>
    <row r="7" spans="1:8" ht="15" x14ac:dyDescent="0.3">
      <c r="A7" s="6" t="s">
        <v>53</v>
      </c>
      <c r="B7" s="7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G7" s="6" t="s">
        <v>45</v>
      </c>
      <c r="H7" s="7" t="s">
        <v>59</v>
      </c>
    </row>
    <row r="8" spans="1:8" ht="15" x14ac:dyDescent="0.3">
      <c r="A8" s="8" t="s">
        <v>60</v>
      </c>
      <c r="B8" s="9" t="s">
        <v>61</v>
      </c>
      <c r="C8" s="9" t="s">
        <v>62</v>
      </c>
      <c r="D8" s="9" t="s">
        <v>56</v>
      </c>
      <c r="E8" s="9" t="s">
        <v>63</v>
      </c>
      <c r="F8" s="9" t="s">
        <v>64</v>
      </c>
      <c r="G8" s="8" t="s">
        <v>65</v>
      </c>
      <c r="H8" s="9" t="s">
        <v>66</v>
      </c>
    </row>
    <row r="9" spans="1:8" ht="15" x14ac:dyDescent="0.3">
      <c r="A9" s="6" t="s">
        <v>67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72</v>
      </c>
      <c r="G9" s="6" t="s">
        <v>73</v>
      </c>
      <c r="H9" s="7" t="s">
        <v>74</v>
      </c>
    </row>
    <row r="10" spans="1:8" ht="15" x14ac:dyDescent="0.3">
      <c r="A10" s="8" t="s">
        <v>75</v>
      </c>
      <c r="B10" s="9" t="s">
        <v>76</v>
      </c>
      <c r="C10" s="9" t="s">
        <v>77</v>
      </c>
      <c r="D10" s="9" t="s">
        <v>70</v>
      </c>
      <c r="E10" s="9" t="s">
        <v>78</v>
      </c>
      <c r="F10" s="9" t="s">
        <v>72</v>
      </c>
      <c r="G10" s="8" t="s">
        <v>73</v>
      </c>
      <c r="H10" s="9" t="s">
        <v>79</v>
      </c>
    </row>
    <row r="11" spans="1:8" ht="15" x14ac:dyDescent="0.3">
      <c r="A11" s="6" t="s">
        <v>80</v>
      </c>
      <c r="B11" s="7" t="s">
        <v>81</v>
      </c>
      <c r="C11" s="7" t="s">
        <v>82</v>
      </c>
      <c r="D11" s="7" t="s">
        <v>70</v>
      </c>
      <c r="E11" s="7" t="s">
        <v>83</v>
      </c>
      <c r="F11" s="7" t="s">
        <v>84</v>
      </c>
      <c r="G11" s="6" t="s">
        <v>85</v>
      </c>
      <c r="H11" s="7" t="s">
        <v>86</v>
      </c>
    </row>
    <row r="12" spans="1:8" ht="15" x14ac:dyDescent="0.3">
      <c r="A12" s="8" t="s">
        <v>87</v>
      </c>
      <c r="B12" s="9" t="s">
        <v>88</v>
      </c>
      <c r="C12" s="9" t="s">
        <v>89</v>
      </c>
      <c r="D12" s="9" t="s">
        <v>90</v>
      </c>
      <c r="E12" s="9" t="s">
        <v>91</v>
      </c>
      <c r="F12" s="9" t="s">
        <v>92</v>
      </c>
      <c r="G12" s="8" t="s">
        <v>93</v>
      </c>
      <c r="H12" s="9" t="s">
        <v>94</v>
      </c>
    </row>
    <row r="13" spans="1:8" ht="15" x14ac:dyDescent="0.3">
      <c r="A13" s="6" t="s">
        <v>95</v>
      </c>
      <c r="B13" s="7" t="s">
        <v>96</v>
      </c>
      <c r="C13" s="7" t="s">
        <v>97</v>
      </c>
      <c r="D13" s="7" t="s">
        <v>90</v>
      </c>
      <c r="E13" s="7" t="s">
        <v>98</v>
      </c>
      <c r="F13" s="7" t="s">
        <v>92</v>
      </c>
      <c r="G13" s="6" t="s">
        <v>93</v>
      </c>
      <c r="H13" s="7" t="s">
        <v>99</v>
      </c>
    </row>
    <row r="14" spans="1:8" ht="15" x14ac:dyDescent="0.3">
      <c r="A14" s="8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105</v>
      </c>
      <c r="G14" s="8" t="s">
        <v>106</v>
      </c>
      <c r="H14" s="9" t="s">
        <v>107</v>
      </c>
    </row>
    <row r="15" spans="1:8" ht="15" x14ac:dyDescent="0.3">
      <c r="A15" s="6" t="s">
        <v>108</v>
      </c>
      <c r="B15" s="7" t="s">
        <v>109</v>
      </c>
      <c r="C15" s="7" t="s">
        <v>102</v>
      </c>
      <c r="D15" s="7" t="s">
        <v>103</v>
      </c>
      <c r="E15" s="7" t="s">
        <v>110</v>
      </c>
      <c r="F15" s="7" t="s">
        <v>111</v>
      </c>
      <c r="G15" s="6" t="s">
        <v>112</v>
      </c>
      <c r="H15" s="7" t="s">
        <v>113</v>
      </c>
    </row>
    <row r="16" spans="1:8" ht="15" x14ac:dyDescent="0.3">
      <c r="A16" s="8" t="s">
        <v>114</v>
      </c>
      <c r="B16" s="9" t="s">
        <v>115</v>
      </c>
      <c r="C16" s="9" t="s">
        <v>116</v>
      </c>
      <c r="D16" s="9" t="s">
        <v>70</v>
      </c>
      <c r="E16" s="9" t="s">
        <v>117</v>
      </c>
      <c r="F16" s="9" t="s">
        <v>118</v>
      </c>
      <c r="G16" s="8" t="s">
        <v>85</v>
      </c>
      <c r="H16" s="9" t="s">
        <v>119</v>
      </c>
    </row>
    <row r="17" spans="1:8" ht="15" x14ac:dyDescent="0.3">
      <c r="A17" s="6" t="s">
        <v>120</v>
      </c>
      <c r="B17" s="7" t="s">
        <v>121</v>
      </c>
      <c r="C17" s="7" t="s">
        <v>122</v>
      </c>
      <c r="D17" s="7" t="s">
        <v>123</v>
      </c>
      <c r="E17" s="7" t="s">
        <v>124</v>
      </c>
      <c r="F17" s="7" t="s">
        <v>125</v>
      </c>
      <c r="G17" s="6" t="s">
        <v>126</v>
      </c>
      <c r="H17" s="7" t="s">
        <v>127</v>
      </c>
    </row>
    <row r="18" spans="1:8" ht="15" x14ac:dyDescent="0.3">
      <c r="A18" s="8" t="s">
        <v>128</v>
      </c>
      <c r="B18" s="9" t="s">
        <v>129</v>
      </c>
      <c r="C18" s="9" t="s">
        <v>130</v>
      </c>
      <c r="D18" s="9" t="s">
        <v>123</v>
      </c>
      <c r="E18" s="9" t="s">
        <v>131</v>
      </c>
      <c r="F18" s="9" t="s">
        <v>132</v>
      </c>
      <c r="G18" s="8" t="s">
        <v>133</v>
      </c>
      <c r="H18" s="9" t="s">
        <v>134</v>
      </c>
    </row>
    <row r="19" spans="1:8" ht="15" x14ac:dyDescent="0.3">
      <c r="A19" s="6" t="s">
        <v>135</v>
      </c>
      <c r="B19" s="7" t="s">
        <v>136</v>
      </c>
      <c r="C19" s="7" t="s">
        <v>137</v>
      </c>
      <c r="D19" s="7" t="s">
        <v>138</v>
      </c>
      <c r="E19" s="7" t="s">
        <v>139</v>
      </c>
      <c r="F19" s="7" t="s">
        <v>140</v>
      </c>
      <c r="G19" s="6" t="s">
        <v>85</v>
      </c>
      <c r="H19" s="7" t="s">
        <v>141</v>
      </c>
    </row>
    <row r="20" spans="1:8" ht="15" x14ac:dyDescent="0.3">
      <c r="A20" s="8" t="s">
        <v>142</v>
      </c>
      <c r="B20" s="9" t="s">
        <v>143</v>
      </c>
      <c r="C20" s="9" t="s">
        <v>144</v>
      </c>
      <c r="D20" s="9" t="s">
        <v>145</v>
      </c>
      <c r="E20" s="9" t="s">
        <v>146</v>
      </c>
      <c r="F20" s="9" t="s">
        <v>147</v>
      </c>
      <c r="G20" s="8" t="s">
        <v>148</v>
      </c>
      <c r="H20" s="9" t="s">
        <v>149</v>
      </c>
    </row>
    <row r="21" spans="1:8" ht="15" x14ac:dyDescent="0.3">
      <c r="A21" s="6" t="s">
        <v>150</v>
      </c>
      <c r="B21" s="7" t="s">
        <v>151</v>
      </c>
      <c r="C21" s="7" t="s">
        <v>152</v>
      </c>
      <c r="D21" s="7" t="s">
        <v>153</v>
      </c>
      <c r="E21" s="7" t="s">
        <v>154</v>
      </c>
      <c r="F21" s="7" t="s">
        <v>155</v>
      </c>
      <c r="G21" s="6" t="s">
        <v>156</v>
      </c>
      <c r="H21" s="7" t="s">
        <v>157</v>
      </c>
    </row>
    <row r="22" spans="1:8" ht="15" x14ac:dyDescent="0.3">
      <c r="A22" s="8" t="s">
        <v>158</v>
      </c>
      <c r="B22" s="9" t="s">
        <v>159</v>
      </c>
      <c r="C22" s="9" t="s">
        <v>160</v>
      </c>
      <c r="D22" s="9" t="s">
        <v>161</v>
      </c>
      <c r="E22" s="9" t="s">
        <v>162</v>
      </c>
      <c r="F22" s="9" t="s">
        <v>163</v>
      </c>
      <c r="G22" s="8" t="s">
        <v>164</v>
      </c>
      <c r="H22" s="9" t="s">
        <v>165</v>
      </c>
    </row>
    <row r="23" spans="1:8" ht="15" x14ac:dyDescent="0.3">
      <c r="A23" s="6" t="s">
        <v>166</v>
      </c>
      <c r="B23" s="7" t="s">
        <v>167</v>
      </c>
      <c r="C23" s="7" t="s">
        <v>168</v>
      </c>
      <c r="D23" s="7" t="s">
        <v>169</v>
      </c>
      <c r="E23" s="7" t="s">
        <v>170</v>
      </c>
      <c r="F23" s="7" t="s">
        <v>171</v>
      </c>
      <c r="G23" s="6" t="s">
        <v>172</v>
      </c>
      <c r="H23" s="7" t="s">
        <v>173</v>
      </c>
    </row>
    <row r="24" spans="1:8" ht="15" x14ac:dyDescent="0.3">
      <c r="A24" s="8" t="s">
        <v>174</v>
      </c>
      <c r="B24" s="9" t="s">
        <v>175</v>
      </c>
      <c r="C24" s="9" t="s">
        <v>176</v>
      </c>
      <c r="D24" s="9" t="s">
        <v>177</v>
      </c>
      <c r="E24" s="9" t="s">
        <v>178</v>
      </c>
      <c r="F24" s="9" t="s">
        <v>179</v>
      </c>
      <c r="G24" s="8" t="s">
        <v>180</v>
      </c>
      <c r="H24" s="9" t="s">
        <v>181</v>
      </c>
    </row>
  </sheetData>
  <autoFilter ref="A2:H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5" customWidth="1"/>
    <col min="2" max="2" width="37" customWidth="1"/>
    <col min="3" max="3" width="57" customWidth="1"/>
    <col min="4" max="4" width="58" customWidth="1"/>
    <col min="5" max="5" width="62" customWidth="1"/>
  </cols>
  <sheetData>
    <row r="2" spans="1:5" ht="28.05" customHeight="1" x14ac:dyDescent="0.3">
      <c r="A2" s="5" t="s">
        <v>15</v>
      </c>
      <c r="B2" s="5" t="s">
        <v>182</v>
      </c>
      <c r="C2" s="5" t="s">
        <v>183</v>
      </c>
      <c r="D2" s="5" t="s">
        <v>184</v>
      </c>
      <c r="E2" s="5" t="s">
        <v>185</v>
      </c>
    </row>
    <row r="3" spans="1:5" ht="15" x14ac:dyDescent="0.3">
      <c r="A3" s="6" t="s">
        <v>186</v>
      </c>
      <c r="B3" s="7" t="s">
        <v>187</v>
      </c>
      <c r="C3" s="7" t="s">
        <v>188</v>
      </c>
      <c r="D3" s="7" t="s">
        <v>189</v>
      </c>
      <c r="E3" s="7" t="s">
        <v>190</v>
      </c>
    </row>
    <row r="4" spans="1:5" ht="15" x14ac:dyDescent="0.3">
      <c r="A4" s="8" t="s">
        <v>191</v>
      </c>
      <c r="B4" s="9" t="s">
        <v>192</v>
      </c>
      <c r="C4" s="9" t="s">
        <v>193</v>
      </c>
      <c r="D4" s="9" t="s">
        <v>194</v>
      </c>
      <c r="E4" s="9" t="s">
        <v>195</v>
      </c>
    </row>
    <row r="5" spans="1:5" ht="15" x14ac:dyDescent="0.3">
      <c r="A5" s="6" t="s">
        <v>196</v>
      </c>
      <c r="B5" s="7" t="s">
        <v>197</v>
      </c>
      <c r="C5" s="7" t="s">
        <v>198</v>
      </c>
      <c r="D5" s="7" t="s">
        <v>199</v>
      </c>
      <c r="E5" s="7" t="s">
        <v>200</v>
      </c>
    </row>
    <row r="6" spans="1:5" ht="15" x14ac:dyDescent="0.3">
      <c r="A6" s="8" t="s">
        <v>201</v>
      </c>
      <c r="B6" s="9" t="s">
        <v>202</v>
      </c>
      <c r="C6" s="9" t="s">
        <v>203</v>
      </c>
      <c r="D6" s="9" t="s">
        <v>204</v>
      </c>
      <c r="E6" s="9" t="s">
        <v>205</v>
      </c>
    </row>
    <row r="7" spans="1:5" ht="15" x14ac:dyDescent="0.3">
      <c r="A7" s="6" t="s">
        <v>206</v>
      </c>
      <c r="B7" s="7" t="s">
        <v>207</v>
      </c>
      <c r="C7" s="7" t="s">
        <v>208</v>
      </c>
      <c r="D7" s="7" t="s">
        <v>209</v>
      </c>
      <c r="E7" s="7" t="s">
        <v>210</v>
      </c>
    </row>
    <row r="8" spans="1:5" ht="15" x14ac:dyDescent="0.3">
      <c r="A8" s="8" t="s">
        <v>211</v>
      </c>
      <c r="B8" s="9" t="s">
        <v>212</v>
      </c>
      <c r="C8" s="9" t="s">
        <v>213</v>
      </c>
      <c r="D8" s="9" t="s">
        <v>214</v>
      </c>
      <c r="E8" s="9" t="s">
        <v>215</v>
      </c>
    </row>
    <row r="9" spans="1:5" ht="15" x14ac:dyDescent="0.3">
      <c r="A9" s="6" t="s">
        <v>216</v>
      </c>
      <c r="B9" s="7" t="s">
        <v>217</v>
      </c>
      <c r="C9" s="7" t="s">
        <v>218</v>
      </c>
      <c r="D9" s="7" t="s">
        <v>219</v>
      </c>
      <c r="E9" s="7" t="s">
        <v>220</v>
      </c>
    </row>
    <row r="10" spans="1:5" ht="15" x14ac:dyDescent="0.3">
      <c r="A10" s="8" t="s">
        <v>221</v>
      </c>
      <c r="B10" s="9" t="s">
        <v>222</v>
      </c>
      <c r="C10" s="9" t="s">
        <v>223</v>
      </c>
      <c r="D10" s="9" t="s">
        <v>224</v>
      </c>
      <c r="E10" s="9" t="s">
        <v>225</v>
      </c>
    </row>
    <row r="11" spans="1:5" ht="15" x14ac:dyDescent="0.3">
      <c r="A11" s="6" t="s">
        <v>226</v>
      </c>
      <c r="B11" s="7" t="s">
        <v>227</v>
      </c>
      <c r="C11" s="7" t="s">
        <v>228</v>
      </c>
      <c r="D11" s="7" t="s">
        <v>229</v>
      </c>
      <c r="E11" s="7" t="s">
        <v>230</v>
      </c>
    </row>
    <row r="12" spans="1:5" ht="15" x14ac:dyDescent="0.3">
      <c r="A12" s="8" t="s">
        <v>231</v>
      </c>
      <c r="B12" s="9" t="s">
        <v>232</v>
      </c>
      <c r="C12" s="9" t="s">
        <v>233</v>
      </c>
      <c r="D12" s="9" t="s">
        <v>234</v>
      </c>
      <c r="E12" s="9" t="s">
        <v>235</v>
      </c>
    </row>
  </sheetData>
  <autoFilter ref="A2:E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0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7" customWidth="1"/>
    <col min="2" max="2" width="29" customWidth="1"/>
    <col min="3" max="3" width="56" customWidth="1"/>
    <col min="4" max="4" width="49" customWidth="1"/>
    <col min="5" max="5" width="64" customWidth="1"/>
  </cols>
  <sheetData>
    <row r="2" spans="1:5" ht="28.05" customHeight="1" x14ac:dyDescent="0.3">
      <c r="A2" s="5" t="s">
        <v>236</v>
      </c>
      <c r="B2" s="5" t="s">
        <v>237</v>
      </c>
      <c r="C2" s="5" t="s">
        <v>238</v>
      </c>
      <c r="D2" s="5" t="s">
        <v>239</v>
      </c>
      <c r="E2" s="5" t="s">
        <v>240</v>
      </c>
    </row>
    <row r="3" spans="1:5" ht="15" x14ac:dyDescent="0.3">
      <c r="A3" s="6" t="s">
        <v>241</v>
      </c>
      <c r="B3" s="7" t="s">
        <v>242</v>
      </c>
      <c r="C3" s="7" t="s">
        <v>243</v>
      </c>
      <c r="D3" s="7" t="s">
        <v>244</v>
      </c>
      <c r="E3" s="7" t="s">
        <v>245</v>
      </c>
    </row>
    <row r="4" spans="1:5" ht="15" x14ac:dyDescent="0.3">
      <c r="A4" s="8" t="s">
        <v>246</v>
      </c>
      <c r="B4" s="9" t="s">
        <v>247</v>
      </c>
      <c r="C4" s="9" t="s">
        <v>248</v>
      </c>
      <c r="D4" s="9" t="s">
        <v>249</v>
      </c>
      <c r="E4" s="9" t="s">
        <v>250</v>
      </c>
    </row>
    <row r="5" spans="1:5" ht="15" x14ac:dyDescent="0.3">
      <c r="A5" s="6" t="s">
        <v>251</v>
      </c>
      <c r="B5" s="7" t="s">
        <v>252</v>
      </c>
      <c r="C5" s="7" t="s">
        <v>253</v>
      </c>
      <c r="D5" s="7" t="s">
        <v>254</v>
      </c>
      <c r="E5" s="7" t="s">
        <v>255</v>
      </c>
    </row>
    <row r="6" spans="1:5" ht="15" x14ac:dyDescent="0.3">
      <c r="A6" s="8" t="s">
        <v>256</v>
      </c>
      <c r="B6" s="9" t="s">
        <v>257</v>
      </c>
      <c r="C6" s="9" t="s">
        <v>258</v>
      </c>
      <c r="D6" s="9" t="s">
        <v>259</v>
      </c>
      <c r="E6" s="9" t="s">
        <v>260</v>
      </c>
    </row>
    <row r="7" spans="1:5" ht="15" x14ac:dyDescent="0.3">
      <c r="A7" s="6" t="s">
        <v>261</v>
      </c>
      <c r="B7" s="7" t="s">
        <v>262</v>
      </c>
      <c r="C7" s="7" t="s">
        <v>263</v>
      </c>
      <c r="D7" s="7" t="s">
        <v>264</v>
      </c>
      <c r="E7" s="7" t="s">
        <v>265</v>
      </c>
    </row>
    <row r="8" spans="1:5" ht="15" x14ac:dyDescent="0.3">
      <c r="A8" s="8" t="s">
        <v>266</v>
      </c>
      <c r="B8" s="9" t="s">
        <v>267</v>
      </c>
      <c r="C8" s="9" t="s">
        <v>268</v>
      </c>
      <c r="D8" s="9" t="s">
        <v>269</v>
      </c>
      <c r="E8" s="9" t="s">
        <v>270</v>
      </c>
    </row>
    <row r="9" spans="1:5" ht="15" x14ac:dyDescent="0.3">
      <c r="A9" s="6" t="s">
        <v>271</v>
      </c>
      <c r="B9" s="7" t="s">
        <v>272</v>
      </c>
      <c r="C9" s="7" t="s">
        <v>273</v>
      </c>
      <c r="D9" s="7" t="s">
        <v>274</v>
      </c>
      <c r="E9" s="7" t="s">
        <v>275</v>
      </c>
    </row>
    <row r="10" spans="1:5" ht="15" x14ac:dyDescent="0.3">
      <c r="A10" s="8" t="s">
        <v>276</v>
      </c>
      <c r="B10" s="9" t="s">
        <v>277</v>
      </c>
      <c r="C10" s="9" t="s">
        <v>278</v>
      </c>
      <c r="D10" s="9" t="s">
        <v>279</v>
      </c>
      <c r="E10" s="9" t="s">
        <v>280</v>
      </c>
    </row>
  </sheetData>
  <autoFilter ref="A2:E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Summary Dashboard</vt:lpstr>
      <vt:lpstr>Functional Traceability</vt:lpstr>
      <vt:lpstr>Non-Functional Traceability</vt:lpstr>
      <vt:lpstr>Constraints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Yasemin Leblebici</cp:lastModifiedBy>
  <dcterms:created xsi:type="dcterms:W3CDTF">2026-05-18T02:13:03Z</dcterms:created>
  <dcterms:modified xsi:type="dcterms:W3CDTF">2026-05-18T02:15:59Z</dcterms:modified>
</cp:coreProperties>
</file>